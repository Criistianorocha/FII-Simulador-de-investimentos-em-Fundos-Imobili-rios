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Cristiano\Downloads\"/>
    </mc:Choice>
  </mc:AlternateContent>
  <xr:revisionPtr revIDLastSave="0" documentId="8_{352E91B1-D983-4F6B-84FD-BEEAA4CB9C1E}" xr6:coauthVersionLast="47" xr6:coauthVersionMax="47" xr10:uidLastSave="{00000000-0000-0000-0000-000000000000}"/>
  <bookViews>
    <workbookView xWindow="-120" yWindow="-120" windowWidth="20730" windowHeight="11040" xr2:uid="{4288A9DD-F688-4993-84EA-CBB17D81C099}"/>
  </bookViews>
  <sheets>
    <sheet name="Simulador" sheetId="2" r:id="rId1"/>
    <sheet name="Apoio" sheetId="3" r:id="rId2"/>
  </sheets>
  <definedNames>
    <definedName name="aporte">Simulador!$C$10</definedName>
    <definedName name="aporte_sugerido">Simulador!$C$11</definedName>
    <definedName name="lista_perfis">Apoio!$F$4:$F$6</definedName>
    <definedName name="lista_tipos">Apoio!$H$4:$H$9</definedName>
    <definedName name="perfil">Simulador!$C$14</definedName>
    <definedName name="prazo">Simulador!$C$12</definedName>
    <definedName name="salario">Simulador!$C$9</definedName>
    <definedName name="taxa_mensal">Simulador!$C$13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2" l="1"/>
  <c r="C11" i="2"/>
  <c r="J10" i="2" s="1"/>
  <c r="J11" i="2" s="1"/>
  <c r="F35" i="2"/>
  <c r="C35" i="2" s="1"/>
  <c r="D35" i="2" s="1"/>
  <c r="F34" i="2"/>
  <c r="C34" i="2" s="1"/>
  <c r="D34" i="2" s="1"/>
  <c r="F33" i="2"/>
  <c r="C33" i="2" s="1"/>
  <c r="D33" i="2" s="1"/>
  <c r="F32" i="2"/>
  <c r="C32" i="2" s="1"/>
  <c r="D32" i="2" s="1"/>
  <c r="F31" i="2"/>
  <c r="C31" i="2" s="1"/>
  <c r="D31" i="2" s="1"/>
  <c r="F30" i="2"/>
  <c r="C30" i="2" s="1"/>
  <c r="C24" i="2"/>
  <c r="F24" i="2" s="1"/>
  <c r="C23" i="2"/>
  <c r="F23" i="2" s="1"/>
  <c r="C22" i="2"/>
  <c r="F22" i="2" s="1"/>
  <c r="C21" i="2"/>
  <c r="F21" i="2" s="1"/>
  <c r="C20" i="2"/>
  <c r="F20" i="2" s="1"/>
  <c r="F12" i="2"/>
  <c r="F11" i="2"/>
  <c r="F9" i="2"/>
  <c r="F10" i="2" s="1"/>
  <c r="C36" i="2" l="1"/>
  <c r="D30" i="2"/>
  <c r="D36" i="2" s="1"/>
</calcChain>
</file>

<file path=xl/sharedStrings.xml><?xml version="1.0" encoding="utf-8"?>
<sst xmlns="http://schemas.openxmlformats.org/spreadsheetml/2006/main" count="108" uniqueCount="59">
  <si>
    <t>FII VISION - BASE DE APOIO</t>
  </si>
  <si>
    <t>Chave</t>
  </si>
  <si>
    <t>Perfil</t>
  </si>
  <si>
    <t>Tipo de FII</t>
  </si>
  <si>
    <t>Percentual</t>
  </si>
  <si>
    <t>Conservador|Tijolo</t>
  </si>
  <si>
    <t>Conservador</t>
  </si>
  <si>
    <t>Tijolo</t>
  </si>
  <si>
    <t>Conservador|Papel</t>
  </si>
  <si>
    <t>Papel</t>
  </si>
  <si>
    <t>Conservador|Híbrido</t>
  </si>
  <si>
    <t>Híbrido</t>
  </si>
  <si>
    <t>Conservador|FOF</t>
  </si>
  <si>
    <t>FOF</t>
  </si>
  <si>
    <t>Conservador|Desenvolvimento</t>
  </si>
  <si>
    <t>Desenvolvimento</t>
  </si>
  <si>
    <t>Conservador|Agro</t>
  </si>
  <si>
    <t>Agro</t>
  </si>
  <si>
    <t>Moderado|Tijolo</t>
  </si>
  <si>
    <t>Moderado</t>
  </si>
  <si>
    <t>Moderado|Papel</t>
  </si>
  <si>
    <t>Moderado|Híbrido</t>
  </si>
  <si>
    <t>Moderado|FOF</t>
  </si>
  <si>
    <t>Moderado|Desenvolvimento</t>
  </si>
  <si>
    <t>Moderado|Agro</t>
  </si>
  <si>
    <t>Arrojado|Tijolo</t>
  </si>
  <si>
    <t>Arrojado</t>
  </si>
  <si>
    <t>Arrojado|Papel</t>
  </si>
  <si>
    <t>Arrojado|Híbrido</t>
  </si>
  <si>
    <t>Arrojado|FOF</t>
  </si>
  <si>
    <t>Arrojado|Desenvolvimento</t>
  </si>
  <si>
    <t>Arrojado|Agro</t>
  </si>
  <si>
    <t>Perfis</t>
  </si>
  <si>
    <t>Tipos de FII</t>
  </si>
  <si>
    <t>OBSERVAÇÃO_x000D_
_x000D_
Os percentuais utilizados nesta ferramenta são exemplos didáticos e não representam recomendação de investimento.</t>
  </si>
  <si>
    <t>Simulador de patrimônio, dividendos e distribuição de aportes</t>
  </si>
  <si>
    <t>CONFIGURAÇÕES</t>
  </si>
  <si>
    <t>Prazo (anos)</t>
  </si>
  <si>
    <t>Rendimento mensal</t>
  </si>
  <si>
    <t>RESULTADO DA SIMULAÇÃO</t>
  </si>
  <si>
    <t>Patrimônio acumulado</t>
  </si>
  <si>
    <t>Dividendos mensais</t>
  </si>
  <si>
    <t>Total aportado</t>
  </si>
  <si>
    <t>PROJEÇÃO DE PATRIMÔNIO</t>
  </si>
  <si>
    <t>Patrimônio</t>
  </si>
  <si>
    <t>Dividendos/mês</t>
  </si>
  <si>
    <t>Aporte sugerido</t>
  </si>
  <si>
    <t>DIVISÃO DO APORTE POR TIPO DE FII</t>
  </si>
  <si>
    <t>Aporte</t>
  </si>
  <si>
    <t>Chave composta</t>
  </si>
  <si>
    <t>TOTAL</t>
  </si>
  <si>
    <t>AVISO: Esta ferramenta é uma simulação educacional. Os resultados dependem das premissas informadas e não representam garantia de rentabilidade ou recomendação de investimento.</t>
  </si>
  <si>
    <t>SIMULAÇÃO COM 10% DO SALÁRIO</t>
  </si>
  <si>
    <t>Investimento Mensal</t>
  </si>
  <si>
    <t>Salário Mensal</t>
  </si>
  <si>
    <t>Investimento sugerido (10%)</t>
  </si>
  <si>
    <t>Rendimento Mensal</t>
  </si>
  <si>
    <t>FII Simulador de investimentos em Fundos Imobiliários</t>
  </si>
  <si>
    <t>FII • Simulador educacional de investimentos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</si>
</sst>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b/>
      <sz val="18"/>
      <color rgb="FFFFFFFF"/>
      <name val="Aptos Display"/>
      <family val="2"/>
    </font>
    <font>
      <b/>
      <sz val="11"/>
      <color rgb="FFFFFFFF"/>
      <name val="Calibri"/>
      <family val="2"/>
      <scheme val="minor"/>
    </font>
    <font>
      <sz val="11"/>
      <color rgb="FF7F6000"/>
      <name val="Calibri"/>
      <family val="2"/>
      <scheme val="minor"/>
    </font>
    <font>
      <b/>
      <sz val="28"/>
      <color rgb="FFFFFFFF"/>
      <name val="Arial"/>
      <family val="2"/>
    </font>
    <font>
      <sz val="11"/>
      <color theme="1"/>
      <name val="Arial"/>
      <family val="2"/>
    </font>
    <font>
      <i/>
      <sz val="11"/>
      <color rgb="FF595959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7F6000"/>
      <name val="Arial"/>
      <family val="2"/>
    </font>
    <font>
      <sz val="8"/>
      <color rgb="FF80808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2EFDA"/>
        <bgColor indexed="64"/>
      </patternFill>
    </fill>
  </fills>
  <borders count="34">
    <border>
      <left/>
      <right/>
      <top/>
      <bottom/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D2D2D2"/>
      </right>
      <top style="thin">
        <color rgb="FFD2D2D2"/>
      </top>
      <bottom style="thin">
        <color rgb="FFD2D2D2"/>
      </bottom>
      <diagonal/>
    </border>
    <border>
      <left style="thin">
        <color rgb="FFD2D2D2"/>
      </left>
      <right style="medium">
        <color indexed="64"/>
      </right>
      <top style="thin">
        <color rgb="FFD2D2D2"/>
      </top>
      <bottom style="thin">
        <color rgb="FFD2D2D2"/>
      </bottom>
      <diagonal/>
    </border>
    <border>
      <left style="medium">
        <color indexed="64"/>
      </left>
      <right style="thin">
        <color rgb="FFD2D2D2"/>
      </right>
      <top style="thin">
        <color rgb="FFD2D2D2"/>
      </top>
      <bottom style="medium">
        <color indexed="64"/>
      </bottom>
      <diagonal/>
    </border>
    <border>
      <left style="thin">
        <color rgb="FFD2D2D2"/>
      </left>
      <right style="medium">
        <color indexed="64"/>
      </right>
      <top style="thin">
        <color rgb="FFD2D2D2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2D2D2"/>
      </left>
      <right/>
      <top/>
      <bottom style="thin">
        <color rgb="FFD2D2D2"/>
      </bottom>
      <diagonal/>
    </border>
    <border>
      <left/>
      <right style="medium">
        <color indexed="64"/>
      </right>
      <top/>
      <bottom style="thin">
        <color rgb="FFD2D2D2"/>
      </bottom>
      <diagonal/>
    </border>
    <border>
      <left style="medium">
        <color indexed="64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/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medium">
        <color theme="1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medium">
        <color indexed="64"/>
      </bottom>
      <diagonal/>
    </border>
    <border>
      <left style="thin">
        <color rgb="FFD2D2D2"/>
      </left>
      <right/>
      <top style="thin">
        <color rgb="FFD2D2D2"/>
      </top>
      <bottom style="thin">
        <color rgb="FFD2D2D2"/>
      </bottom>
      <diagonal/>
    </border>
    <border>
      <left/>
      <right style="medium">
        <color indexed="64"/>
      </right>
      <top style="thin">
        <color rgb="FFD2D2D2"/>
      </top>
      <bottom style="thin">
        <color rgb="FFD2D2D2"/>
      </bottom>
      <diagonal/>
    </border>
    <border>
      <left style="thin">
        <color rgb="FFD2D2D2"/>
      </left>
      <right/>
      <top style="thin">
        <color rgb="FFD2D2D2"/>
      </top>
      <bottom style="medium">
        <color indexed="64"/>
      </bottom>
      <diagonal/>
    </border>
    <border>
      <left/>
      <right style="medium">
        <color indexed="64"/>
      </right>
      <top style="thin">
        <color rgb="FFD2D2D2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0" fillId="0" borderId="1" xfId="0" applyFill="1" applyBorder="1"/>
    <xf numFmtId="9" fontId="0" fillId="0" borderId="1" xfId="0" applyNumberFormat="1" applyFill="1" applyBorder="1"/>
    <xf numFmtId="0" fontId="0" fillId="4" borderId="1" xfId="0" applyFill="1" applyBorder="1"/>
    <xf numFmtId="9" fontId="0" fillId="4" borderId="1" xfId="0" applyNumberFormat="1" applyFill="1" applyBorder="1"/>
    <xf numFmtId="0" fontId="3" fillId="5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Border="1"/>
    <xf numFmtId="0" fontId="5" fillId="0" borderId="6" xfId="0" applyFont="1" applyBorder="1"/>
    <xf numFmtId="164" fontId="8" fillId="5" borderId="7" xfId="0" applyNumberFormat="1" applyFont="1" applyFill="1" applyBorder="1"/>
    <xf numFmtId="164" fontId="9" fillId="6" borderId="15" xfId="0" applyNumberFormat="1" applyFont="1" applyFill="1" applyBorder="1"/>
    <xf numFmtId="164" fontId="9" fillId="6" borderId="16" xfId="0" applyNumberFormat="1" applyFont="1" applyFill="1" applyBorder="1"/>
    <xf numFmtId="164" fontId="8" fillId="6" borderId="15" xfId="0" applyNumberFormat="1" applyFont="1" applyFill="1" applyBorder="1"/>
    <xf numFmtId="164" fontId="8" fillId="6" borderId="16" xfId="0" applyNumberFormat="1" applyFont="1" applyFill="1" applyBorder="1"/>
    <xf numFmtId="164" fontId="9" fillId="6" borderId="30" xfId="0" applyNumberFormat="1" applyFont="1" applyFill="1" applyBorder="1"/>
    <xf numFmtId="164" fontId="9" fillId="6" borderId="31" xfId="0" applyNumberFormat="1" applyFont="1" applyFill="1" applyBorder="1"/>
    <xf numFmtId="164" fontId="8" fillId="6" borderId="30" xfId="0" applyNumberFormat="1" applyFont="1" applyFill="1" applyBorder="1"/>
    <xf numFmtId="164" fontId="8" fillId="6" borderId="31" xfId="0" applyNumberFormat="1" applyFont="1" applyFill="1" applyBorder="1"/>
    <xf numFmtId="164" fontId="8" fillId="6" borderId="7" xfId="0" applyNumberFormat="1" applyFont="1" applyFill="1" applyBorder="1"/>
    <xf numFmtId="0" fontId="5" fillId="0" borderId="8" xfId="0" applyFont="1" applyBorder="1"/>
    <xf numFmtId="164" fontId="8" fillId="6" borderId="32" xfId="0" applyNumberFormat="1" applyFont="1" applyFill="1" applyBorder="1"/>
    <xf numFmtId="164" fontId="8" fillId="6" borderId="33" xfId="0" applyNumberFormat="1" applyFont="1" applyFill="1" applyBorder="1"/>
    <xf numFmtId="0" fontId="8" fillId="5" borderId="7" xfId="0" applyFont="1" applyFill="1" applyBorder="1"/>
    <xf numFmtId="10" fontId="9" fillId="6" borderId="32" xfId="0" applyNumberFormat="1" applyFont="1" applyFill="1" applyBorder="1"/>
    <xf numFmtId="10" fontId="9" fillId="6" borderId="33" xfId="0" applyNumberFormat="1" applyFont="1" applyFill="1" applyBorder="1"/>
    <xf numFmtId="10" fontId="8" fillId="5" borderId="7" xfId="0" applyNumberFormat="1" applyFont="1" applyFill="1" applyBorder="1"/>
    <xf numFmtId="0" fontId="8" fillId="5" borderId="9" xfId="0" applyFont="1" applyFill="1" applyBorder="1"/>
    <xf numFmtId="0" fontId="7" fillId="3" borderId="10" xfId="0" applyFont="1" applyFill="1" applyBorder="1" applyAlignment="1">
      <alignment horizontal="center"/>
    </xf>
    <xf numFmtId="0" fontId="7" fillId="8" borderId="17" xfId="0" applyFont="1" applyFill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0" fontId="7" fillId="8" borderId="19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164" fontId="5" fillId="6" borderId="21" xfId="0" applyNumberFormat="1" applyFont="1" applyFill="1" applyBorder="1" applyAlignment="1">
      <alignment horizontal="center"/>
    </xf>
    <xf numFmtId="164" fontId="5" fillId="6" borderId="22" xfId="0" applyNumberFormat="1" applyFont="1" applyFill="1" applyBorder="1" applyAlignment="1">
      <alignment horizontal="center"/>
    </xf>
    <xf numFmtId="0" fontId="5" fillId="0" borderId="27" xfId="0" applyFont="1" applyBorder="1" applyAlignment="1">
      <alignment horizontal="center"/>
    </xf>
    <xf numFmtId="164" fontId="5" fillId="6" borderId="28" xfId="0" applyNumberFormat="1" applyFont="1" applyFill="1" applyBorder="1" applyAlignment="1">
      <alignment horizontal="center"/>
    </xf>
    <xf numFmtId="164" fontId="5" fillId="6" borderId="29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0" fontId="5" fillId="0" borderId="20" xfId="0" applyFont="1" applyBorder="1"/>
    <xf numFmtId="9" fontId="5" fillId="6" borderId="21" xfId="0" applyNumberFormat="1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/>
    </xf>
    <xf numFmtId="0" fontId="5" fillId="6" borderId="22" xfId="0" applyFont="1" applyFill="1" applyBorder="1" applyAlignment="1">
      <alignment horizontal="center"/>
    </xf>
    <xf numFmtId="0" fontId="5" fillId="0" borderId="23" xfId="0" applyFont="1" applyBorder="1"/>
    <xf numFmtId="9" fontId="5" fillId="6" borderId="24" xfId="0" applyNumberFormat="1" applyFont="1" applyFill="1" applyBorder="1" applyAlignment="1">
      <alignment horizontal="center" vertical="center"/>
    </xf>
    <xf numFmtId="164" fontId="5" fillId="6" borderId="24" xfId="0" applyNumberFormat="1" applyFont="1" applyFill="1" applyBorder="1" applyAlignment="1">
      <alignment horizontal="center"/>
    </xf>
    <xf numFmtId="0" fontId="5" fillId="6" borderId="25" xfId="0" applyFont="1" applyFill="1" applyBorder="1" applyAlignment="1">
      <alignment horizontal="center"/>
    </xf>
    <xf numFmtId="0" fontId="5" fillId="6" borderId="26" xfId="0" applyFont="1" applyFill="1" applyBorder="1" applyAlignment="1">
      <alignment horizontal="center"/>
    </xf>
    <xf numFmtId="0" fontId="8" fillId="9" borderId="12" xfId="0" applyFont="1" applyFill="1" applyBorder="1"/>
    <xf numFmtId="9" fontId="8" fillId="9" borderId="11" xfId="0" applyNumberFormat="1" applyFont="1" applyFill="1" applyBorder="1" applyAlignment="1">
      <alignment horizontal="center" vertical="center"/>
    </xf>
    <xf numFmtId="164" fontId="8" fillId="9" borderId="13" xfId="0" applyNumberFormat="1" applyFont="1" applyFill="1" applyBorder="1" applyAlignment="1">
      <alignment horizontal="center"/>
    </xf>
    <xf numFmtId="164" fontId="8" fillId="9" borderId="14" xfId="0" applyNumberFormat="1" applyFont="1" applyFill="1" applyBorder="1" applyAlignment="1">
      <alignment horizontal="center"/>
    </xf>
    <xf numFmtId="0" fontId="10" fillId="5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Distribuição do aporte por tipo de FII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Percentual</c:v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 -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Simulador!$B$30:$B$35</c:f>
              <c:strCache>
                <c:ptCount val="6"/>
                <c:pt idx="0">
                  <c:v>Tijolo</c:v>
                </c:pt>
                <c:pt idx="1">
                  <c:v>Papel</c:v>
                </c:pt>
                <c:pt idx="2">
                  <c:v>Híbrido</c:v>
                </c:pt>
                <c:pt idx="3">
                  <c:v>FOF</c:v>
                </c:pt>
                <c:pt idx="4">
                  <c:v>Desenvolvimento</c:v>
                </c:pt>
                <c:pt idx="5">
                  <c:v>Agro</c:v>
                </c:pt>
              </c:strCache>
            </c:strRef>
          </c:cat>
          <c:val>
            <c:numRef>
              <c:f>Simulador!$C$30:$C$35</c:f>
              <c:numCache>
                <c:formatCode>0%</c:formatCode>
                <c:ptCount val="6"/>
                <c:pt idx="0">
                  <c:v>0.35</c:v>
                </c:pt>
                <c:pt idx="1">
                  <c:v>0.3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25-4A4F-86BE-F58FFA6DB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</c:spPr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>
      <a:solidFill>
        <a:srgbClr val="D2D2D2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15</xdr:row>
      <xdr:rowOff>180975</xdr:rowOff>
    </xdr:from>
    <xdr:to>
      <xdr:col>13</xdr:col>
      <xdr:colOff>295275</xdr:colOff>
      <xdr:row>35</xdr:row>
      <xdr:rowOff>180975</xdr:rowOff>
    </xdr:to>
    <xdr:graphicFrame macro="">
      <xdr:nvGraphicFramePr>
        <xdr:cNvPr id="2" name="GraficoDistribuicao">
          <a:extLst>
            <a:ext uri="{FF2B5EF4-FFF2-40B4-BE49-F238E27FC236}">
              <a16:creationId xmlns:a16="http://schemas.microsoft.com/office/drawing/2014/main" id="{BC3A7E21-1711-472A-2E96-FB3B4C891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A88AE-A04E-44B6-AF81-342BD7B532BE}">
  <sheetPr codeName="Planilha2">
    <pageSetUpPr fitToPage="1"/>
  </sheetPr>
  <dimension ref="B2:N41"/>
  <sheetViews>
    <sheetView showGridLines="0" showRowColHeaders="0" tabSelected="1" zoomScaleNormal="100" workbookViewId="0">
      <selection activeCell="E14" sqref="E14"/>
    </sheetView>
  </sheetViews>
  <sheetFormatPr defaultColWidth="0" defaultRowHeight="14.25" x14ac:dyDescent="0.2"/>
  <cols>
    <col min="1" max="1" width="3.7109375" style="10" customWidth="1"/>
    <col min="2" max="2" width="28.85546875" style="10" customWidth="1"/>
    <col min="3" max="3" width="20.7109375" style="10" customWidth="1"/>
    <col min="4" max="4" width="1.85546875" style="10" customWidth="1"/>
    <col min="5" max="5" width="28" style="10" customWidth="1"/>
    <col min="6" max="6" width="20.7109375" style="10" customWidth="1"/>
    <col min="7" max="7" width="4.7109375" style="10" customWidth="1"/>
    <col min="8" max="8" width="1.7109375" style="10" customWidth="1"/>
    <col min="9" max="9" width="32.42578125" style="10" customWidth="1"/>
    <col min="10" max="10" width="3.5703125" style="10" customWidth="1"/>
    <col min="11" max="11" width="14.85546875" style="10" customWidth="1"/>
    <col min="12" max="13" width="9.140625" style="10" customWidth="1"/>
    <col min="14" max="14" width="4.7109375" style="10" customWidth="1"/>
    <col min="15" max="16384" width="9.140625" style="10" hidden="1"/>
  </cols>
  <sheetData>
    <row r="2" spans="2:14" ht="15" customHeight="1" x14ac:dyDescent="0.2">
      <c r="B2" s="9" t="s">
        <v>57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2:14" ht="15" customHeight="1" x14ac:dyDescent="0.2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2:14" ht="15" customHeight="1" x14ac:dyDescent="0.2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2:14" x14ac:dyDescent="0.2">
      <c r="B5" s="11" t="s">
        <v>35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2:14" ht="15" thickBot="1" x14ac:dyDescent="0.25"/>
    <row r="7" spans="2:14" ht="15" x14ac:dyDescent="0.25">
      <c r="B7" s="12" t="s">
        <v>36</v>
      </c>
      <c r="C7" s="13"/>
      <c r="E7" s="14" t="s">
        <v>39</v>
      </c>
      <c r="F7" s="15"/>
      <c r="G7" s="16"/>
      <c r="I7" s="14" t="s">
        <v>52</v>
      </c>
      <c r="J7" s="15"/>
      <c r="K7" s="16"/>
    </row>
    <row r="8" spans="2:14" x14ac:dyDescent="0.2">
      <c r="B8" s="17"/>
      <c r="C8" s="18"/>
      <c r="E8" s="17"/>
      <c r="F8" s="19"/>
      <c r="G8" s="18"/>
      <c r="I8" s="17"/>
      <c r="J8" s="19"/>
      <c r="K8" s="18"/>
    </row>
    <row r="9" spans="2:14" ht="15.75" x14ac:dyDescent="0.25">
      <c r="B9" s="20" t="s">
        <v>54</v>
      </c>
      <c r="C9" s="21">
        <v>5000</v>
      </c>
      <c r="E9" s="20" t="s">
        <v>40</v>
      </c>
      <c r="F9" s="22">
        <f>FV(taxa_mensal,prazo*12,-aporte,0,0)</f>
        <v>26343.155111119566</v>
      </c>
      <c r="G9" s="23"/>
      <c r="I9" s="20" t="s">
        <v>46</v>
      </c>
      <c r="J9" s="24">
        <f>salario*10%</f>
        <v>500</v>
      </c>
      <c r="K9" s="25"/>
    </row>
    <row r="10" spans="2:14" ht="15.75" x14ac:dyDescent="0.25">
      <c r="B10" s="20" t="s">
        <v>53</v>
      </c>
      <c r="C10" s="21">
        <v>1000</v>
      </c>
      <c r="E10" s="20" t="s">
        <v>41</v>
      </c>
      <c r="F10" s="26">
        <f>F9*taxa_mensal</f>
        <v>210.74524088895654</v>
      </c>
      <c r="G10" s="27"/>
      <c r="I10" s="20" t="s">
        <v>44</v>
      </c>
      <c r="J10" s="28">
        <f>FV(taxa_mensal,prazo*12,-aporte_sugerido,0,0)</f>
        <v>13171.577555559783</v>
      </c>
      <c r="K10" s="29"/>
    </row>
    <row r="11" spans="2:14" ht="16.5" thickBot="1" x14ac:dyDescent="0.3">
      <c r="B11" s="20" t="s">
        <v>55</v>
      </c>
      <c r="C11" s="30">
        <f>salario*10%</f>
        <v>500</v>
      </c>
      <c r="E11" s="20" t="s">
        <v>42</v>
      </c>
      <c r="F11" s="26">
        <f>aporte*12*prazo</f>
        <v>24000</v>
      </c>
      <c r="G11" s="27"/>
      <c r="I11" s="31" t="s">
        <v>45</v>
      </c>
      <c r="J11" s="32">
        <f>J10*taxa_mensal</f>
        <v>105.37262044447827</v>
      </c>
      <c r="K11" s="33"/>
    </row>
    <row r="12" spans="2:14" ht="16.5" thickBot="1" x14ac:dyDescent="0.3">
      <c r="B12" s="20" t="s">
        <v>37</v>
      </c>
      <c r="C12" s="34">
        <v>2</v>
      </c>
      <c r="E12" s="31" t="s">
        <v>38</v>
      </c>
      <c r="F12" s="35">
        <f>taxa_mensal</f>
        <v>8.0000000000000002E-3</v>
      </c>
      <c r="G12" s="36"/>
    </row>
    <row r="13" spans="2:14" ht="15" x14ac:dyDescent="0.25">
      <c r="B13" s="20" t="s">
        <v>56</v>
      </c>
      <c r="C13" s="37">
        <v>8.0000000000000002E-3</v>
      </c>
    </row>
    <row r="14" spans="2:14" ht="15.75" thickBot="1" x14ac:dyDescent="0.3">
      <c r="B14" s="31" t="s">
        <v>2</v>
      </c>
      <c r="C14" s="38" t="s">
        <v>6</v>
      </c>
    </row>
    <row r="16" spans="2:14" ht="15" thickBot="1" x14ac:dyDescent="0.25"/>
    <row r="17" spans="2:7" ht="15" x14ac:dyDescent="0.25">
      <c r="B17" s="12" t="s">
        <v>43</v>
      </c>
      <c r="C17" s="39"/>
      <c r="D17" s="39"/>
      <c r="E17" s="39"/>
      <c r="F17" s="39"/>
      <c r="G17" s="13"/>
    </row>
    <row r="18" spans="2:7" x14ac:dyDescent="0.2">
      <c r="B18" s="17"/>
      <c r="C18" s="19"/>
      <c r="D18" s="19"/>
      <c r="E18" s="19"/>
      <c r="F18" s="19"/>
      <c r="G18" s="18"/>
    </row>
    <row r="19" spans="2:7" ht="15" x14ac:dyDescent="0.25">
      <c r="B19" s="40" t="s">
        <v>37</v>
      </c>
      <c r="C19" s="41" t="s">
        <v>44</v>
      </c>
      <c r="D19" s="41"/>
      <c r="E19" s="41"/>
      <c r="F19" s="41" t="s">
        <v>45</v>
      </c>
      <c r="G19" s="42"/>
    </row>
    <row r="20" spans="2:7" x14ac:dyDescent="0.2">
      <c r="B20" s="43">
        <v>2</v>
      </c>
      <c r="C20" s="44">
        <f>FV(taxa_mensal,B20*12,-aporte,0,0)</f>
        <v>26343.155111119566</v>
      </c>
      <c r="D20" s="44"/>
      <c r="E20" s="44"/>
      <c r="F20" s="44">
        <f>C20*taxa_mensal</f>
        <v>210.74524088895654</v>
      </c>
      <c r="G20" s="45"/>
    </row>
    <row r="21" spans="2:7" x14ac:dyDescent="0.2">
      <c r="B21" s="43">
        <v>5</v>
      </c>
      <c r="C21" s="44">
        <f>FV(taxa_mensal,B21*12,-aporte,0,0)</f>
        <v>76623.866831880223</v>
      </c>
      <c r="D21" s="44"/>
      <c r="E21" s="44"/>
      <c r="F21" s="44">
        <f>C21*taxa_mensal</f>
        <v>612.99093465504177</v>
      </c>
      <c r="G21" s="45"/>
    </row>
    <row r="22" spans="2:7" x14ac:dyDescent="0.2">
      <c r="B22" s="43">
        <v>10</v>
      </c>
      <c r="C22" s="44">
        <f>FV(taxa_mensal,B22*12,-aporte,0,0)</f>
        <v>200217.46940991812</v>
      </c>
      <c r="D22" s="44"/>
      <c r="E22" s="44"/>
      <c r="F22" s="44">
        <f>C22*taxa_mensal</f>
        <v>1601.739755279345</v>
      </c>
      <c r="G22" s="45"/>
    </row>
    <row r="23" spans="2:7" x14ac:dyDescent="0.2">
      <c r="B23" s="43">
        <v>20</v>
      </c>
      <c r="C23" s="44">
        <f>FV(taxa_mensal,B23*12,-aporte,0,0)</f>
        <v>721131.21927512833</v>
      </c>
      <c r="D23" s="44"/>
      <c r="E23" s="44"/>
      <c r="F23" s="44">
        <f>C23*taxa_mensal</f>
        <v>5769.0497542010271</v>
      </c>
      <c r="G23" s="45"/>
    </row>
    <row r="24" spans="2:7" ht="15" thickBot="1" x14ac:dyDescent="0.25">
      <c r="B24" s="46">
        <v>30</v>
      </c>
      <c r="C24" s="47">
        <f>FV(taxa_mensal,B24*12,-aporte,0,0)</f>
        <v>2076413.2313710852</v>
      </c>
      <c r="D24" s="47"/>
      <c r="E24" s="47"/>
      <c r="F24" s="47">
        <f>C24*taxa_mensal</f>
        <v>16611.305850968682</v>
      </c>
      <c r="G24" s="48"/>
    </row>
    <row r="26" spans="2:7" ht="15" thickBot="1" x14ac:dyDescent="0.25"/>
    <row r="27" spans="2:7" ht="15" x14ac:dyDescent="0.25">
      <c r="B27" s="49" t="s">
        <v>47</v>
      </c>
      <c r="C27" s="50"/>
      <c r="D27" s="50"/>
      <c r="E27" s="50"/>
      <c r="F27" s="50"/>
      <c r="G27" s="51"/>
    </row>
    <row r="28" spans="2:7" x14ac:dyDescent="0.2">
      <c r="B28" s="17"/>
      <c r="C28" s="19"/>
      <c r="D28" s="19"/>
      <c r="E28" s="19"/>
      <c r="F28" s="19"/>
      <c r="G28" s="18"/>
    </row>
    <row r="29" spans="2:7" ht="15" x14ac:dyDescent="0.25">
      <c r="B29" s="40" t="s">
        <v>3</v>
      </c>
      <c r="C29" s="52" t="s">
        <v>4</v>
      </c>
      <c r="D29" s="41" t="s">
        <v>48</v>
      </c>
      <c r="E29" s="41"/>
      <c r="F29" s="41" t="s">
        <v>49</v>
      </c>
      <c r="G29" s="42"/>
    </row>
    <row r="30" spans="2:7" x14ac:dyDescent="0.2">
      <c r="B30" s="53" t="s">
        <v>7</v>
      </c>
      <c r="C30" s="54">
        <f>VLOOKUP(F30,Apoio!$A$4:$D$21,4,FALSE)</f>
        <v>0.35</v>
      </c>
      <c r="D30" s="44">
        <f>aporte*C30</f>
        <v>350</v>
      </c>
      <c r="E30" s="44"/>
      <c r="F30" s="55" t="str">
        <f>perfil&amp;"|"&amp;B30</f>
        <v>Conservador|Tijolo</v>
      </c>
      <c r="G30" s="56"/>
    </row>
    <row r="31" spans="2:7" x14ac:dyDescent="0.2">
      <c r="B31" s="53" t="s">
        <v>9</v>
      </c>
      <c r="C31" s="54">
        <f>VLOOKUP(F31,Apoio!$A$4:$D$21,4,FALSE)</f>
        <v>0.3</v>
      </c>
      <c r="D31" s="44">
        <f>aporte*C31</f>
        <v>300</v>
      </c>
      <c r="E31" s="44"/>
      <c r="F31" s="55" t="str">
        <f>perfil&amp;"|"&amp;B31</f>
        <v>Conservador|Papel</v>
      </c>
      <c r="G31" s="56"/>
    </row>
    <row r="32" spans="2:7" x14ac:dyDescent="0.2">
      <c r="B32" s="53" t="s">
        <v>11</v>
      </c>
      <c r="C32" s="54">
        <f>VLOOKUP(F32,Apoio!$A$4:$D$21,4,FALSE)</f>
        <v>0.15</v>
      </c>
      <c r="D32" s="44">
        <f>aporte*C32</f>
        <v>150</v>
      </c>
      <c r="E32" s="44"/>
      <c r="F32" s="55" t="str">
        <f>perfil&amp;"|"&amp;B32</f>
        <v>Conservador|Híbrido</v>
      </c>
      <c r="G32" s="56"/>
    </row>
    <row r="33" spans="2:14" x14ac:dyDescent="0.2">
      <c r="B33" s="53" t="s">
        <v>13</v>
      </c>
      <c r="C33" s="54">
        <f>VLOOKUP(F33,Apoio!$A$4:$D$21,4,FALSE)</f>
        <v>0.1</v>
      </c>
      <c r="D33" s="44">
        <f>aporte*C33</f>
        <v>100</v>
      </c>
      <c r="E33" s="44"/>
      <c r="F33" s="55" t="str">
        <f>perfil&amp;"|"&amp;B33</f>
        <v>Conservador|FOF</v>
      </c>
      <c r="G33" s="56"/>
    </row>
    <row r="34" spans="2:14" x14ac:dyDescent="0.2">
      <c r="B34" s="53" t="s">
        <v>15</v>
      </c>
      <c r="C34" s="54">
        <f>VLOOKUP(F34,Apoio!$A$4:$D$21,4,FALSE)</f>
        <v>0.05</v>
      </c>
      <c r="D34" s="44">
        <f>aporte*C34</f>
        <v>50</v>
      </c>
      <c r="E34" s="44"/>
      <c r="F34" s="55" t="str">
        <f>perfil&amp;"|"&amp;B34</f>
        <v>Conservador|Desenvolvimento</v>
      </c>
      <c r="G34" s="56"/>
    </row>
    <row r="35" spans="2:14" ht="15" thickBot="1" x14ac:dyDescent="0.25">
      <c r="B35" s="57" t="s">
        <v>17</v>
      </c>
      <c r="C35" s="58">
        <f>VLOOKUP(F35,Apoio!$A$4:$D$21,4,FALSE)</f>
        <v>0.05</v>
      </c>
      <c r="D35" s="59">
        <f>aporte*C35</f>
        <v>50</v>
      </c>
      <c r="E35" s="59"/>
      <c r="F35" s="60" t="str">
        <f>perfil&amp;"|"&amp;B35</f>
        <v>Conservador|Agro</v>
      </c>
      <c r="G35" s="61"/>
    </row>
    <row r="36" spans="2:14" ht="15.75" thickBot="1" x14ac:dyDescent="0.3">
      <c r="B36" s="62" t="s">
        <v>50</v>
      </c>
      <c r="C36" s="63">
        <f>SUM(C30:C35)</f>
        <v>1</v>
      </c>
      <c r="D36" s="64">
        <f>SUM(D30:D35)</f>
        <v>1000</v>
      </c>
      <c r="E36" s="65"/>
      <c r="F36" s="19"/>
      <c r="G36" s="19"/>
    </row>
    <row r="38" spans="2:14" ht="15" customHeight="1" x14ac:dyDescent="0.2">
      <c r="B38" s="66" t="s">
        <v>51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</row>
    <row r="39" spans="2:14" x14ac:dyDescent="0.2"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</row>
    <row r="41" spans="2:14" x14ac:dyDescent="0.2">
      <c r="B41" s="67" t="s">
        <v>58</v>
      </c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</row>
  </sheetData>
  <mergeCells count="43">
    <mergeCell ref="B41:N41"/>
    <mergeCell ref="B5:N5"/>
    <mergeCell ref="I7:K7"/>
    <mergeCell ref="C22:E22"/>
    <mergeCell ref="C23:E23"/>
    <mergeCell ref="C24:E24"/>
    <mergeCell ref="B17:G17"/>
    <mergeCell ref="B2:N4"/>
    <mergeCell ref="B38:N39"/>
    <mergeCell ref="B27:G27"/>
    <mergeCell ref="F19:G19"/>
    <mergeCell ref="F20:G20"/>
    <mergeCell ref="F21:G21"/>
    <mergeCell ref="F22:G22"/>
    <mergeCell ref="F23:G23"/>
    <mergeCell ref="F24:G24"/>
    <mergeCell ref="C19:E19"/>
    <mergeCell ref="C20:E20"/>
    <mergeCell ref="C21:E21"/>
    <mergeCell ref="F30:G30"/>
    <mergeCell ref="F31:G31"/>
    <mergeCell ref="F32:G32"/>
    <mergeCell ref="F33:G33"/>
    <mergeCell ref="F34:G34"/>
    <mergeCell ref="F35:G35"/>
    <mergeCell ref="D36:E36"/>
    <mergeCell ref="D29:E29"/>
    <mergeCell ref="F29:G29"/>
    <mergeCell ref="D30:E30"/>
    <mergeCell ref="D31:E31"/>
    <mergeCell ref="D32:E32"/>
    <mergeCell ref="D33:E33"/>
    <mergeCell ref="D34:E34"/>
    <mergeCell ref="D35:E35"/>
    <mergeCell ref="J10:K10"/>
    <mergeCell ref="J11:K11"/>
    <mergeCell ref="E7:G7"/>
    <mergeCell ref="F9:G9"/>
    <mergeCell ref="F10:G10"/>
    <mergeCell ref="F11:G11"/>
    <mergeCell ref="F12:G12"/>
    <mergeCell ref="J9:K9"/>
    <mergeCell ref="B7:C7"/>
  </mergeCells>
  <dataValidations count="2">
    <dataValidation type="whole" showInputMessage="1" showErrorMessage="1" errorTitle="Prazo inválido" error="O prazo deve estar entre 2 e 30 anos." promptTitle="Prazo" prompt="Digite um prazo entre 2 e 30 anos." sqref="C12" xr:uid="{3D5FBD5A-CC54-4EA5-97F6-27496B6BBB99}">
      <formula1>2</formula1>
      <formula2>30</formula2>
    </dataValidation>
    <dataValidation type="list" showInputMessage="1" showErrorMessage="1" errorTitle="Perfil inválido" error="Selecione um perfil disponível na lista." promptTitle="Perfil do investidor" prompt="Selecione Conservador, Moderado ou Arrojado." sqref="C14" xr:uid="{83E4FCC1-D388-4641-A09D-CFEE0317A080}">
      <formula1>lista_perfis</formula1>
    </dataValidation>
  </dataValidations>
  <printOptions horizontalCentered="1"/>
  <pageMargins left="0.511811024" right="0.511811024" top="0.78740157499999996" bottom="0.78740157499999996" header="0.31496062000000002" footer="0.31496062000000002"/>
  <pageSetup paperSize="9" scale="7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932B2-89E4-4A0C-9F85-180CAA2F62D2}">
  <sheetPr codeName="Planilha3"/>
  <dimension ref="A1:H21"/>
  <sheetViews>
    <sheetView showGridLines="0" topLeftCell="A2" workbookViewId="0">
      <selection activeCell="J1" sqref="J1:XFD1048576"/>
    </sheetView>
  </sheetViews>
  <sheetFormatPr defaultColWidth="0" defaultRowHeight="15" x14ac:dyDescent="0.25"/>
  <cols>
    <col min="1" max="1" width="31.7109375" customWidth="1"/>
    <col min="2" max="2" width="18.7109375" customWidth="1"/>
    <col min="3" max="3" width="22.7109375" customWidth="1"/>
    <col min="4" max="4" width="14.7109375" customWidth="1"/>
    <col min="5" max="5" width="4.7109375" customWidth="1"/>
    <col min="6" max="6" width="20.7109375" customWidth="1"/>
    <col min="7" max="7" width="4.7109375" customWidth="1"/>
    <col min="8" max="8" width="25.7109375" customWidth="1"/>
    <col min="9" max="9" width="9.140625" customWidth="1"/>
    <col min="10" max="16384" width="9.140625" hidden="1"/>
  </cols>
  <sheetData>
    <row r="1" spans="1:8" ht="33.950000000000003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3" t="s">
        <v>1</v>
      </c>
      <c r="B3" s="3" t="s">
        <v>2</v>
      </c>
      <c r="C3" s="3" t="s">
        <v>3</v>
      </c>
      <c r="D3" s="3" t="s">
        <v>4</v>
      </c>
      <c r="F3" s="2" t="s">
        <v>32</v>
      </c>
      <c r="H3" s="2" t="s">
        <v>33</v>
      </c>
    </row>
    <row r="4" spans="1:8" x14ac:dyDescent="0.25">
      <c r="A4" s="6" t="s">
        <v>5</v>
      </c>
      <c r="B4" s="6" t="s">
        <v>6</v>
      </c>
      <c r="C4" s="6" t="s">
        <v>7</v>
      </c>
      <c r="D4" s="7">
        <v>0.35</v>
      </c>
      <c r="F4" t="s">
        <v>6</v>
      </c>
      <c r="H4" t="s">
        <v>7</v>
      </c>
    </row>
    <row r="5" spans="1:8" x14ac:dyDescent="0.25">
      <c r="A5" s="4" t="s">
        <v>8</v>
      </c>
      <c r="B5" s="4" t="s">
        <v>6</v>
      </c>
      <c r="C5" s="4" t="s">
        <v>9</v>
      </c>
      <c r="D5" s="5">
        <v>0.3</v>
      </c>
      <c r="F5" t="s">
        <v>19</v>
      </c>
      <c r="H5" t="s">
        <v>9</v>
      </c>
    </row>
    <row r="6" spans="1:8" x14ac:dyDescent="0.25">
      <c r="A6" s="6" t="s">
        <v>10</v>
      </c>
      <c r="B6" s="6" t="s">
        <v>6</v>
      </c>
      <c r="C6" s="6" t="s">
        <v>11</v>
      </c>
      <c r="D6" s="7">
        <v>0.15</v>
      </c>
      <c r="F6" t="s">
        <v>26</v>
      </c>
      <c r="H6" t="s">
        <v>11</v>
      </c>
    </row>
    <row r="7" spans="1:8" x14ac:dyDescent="0.25">
      <c r="A7" s="4" t="s">
        <v>12</v>
      </c>
      <c r="B7" s="4" t="s">
        <v>6</v>
      </c>
      <c r="C7" s="4" t="s">
        <v>13</v>
      </c>
      <c r="D7" s="5">
        <v>0.1</v>
      </c>
      <c r="H7" t="s">
        <v>13</v>
      </c>
    </row>
    <row r="8" spans="1:8" x14ac:dyDescent="0.25">
      <c r="A8" s="6" t="s">
        <v>14</v>
      </c>
      <c r="B8" s="6" t="s">
        <v>6</v>
      </c>
      <c r="C8" s="6" t="s">
        <v>15</v>
      </c>
      <c r="D8" s="7">
        <v>0.05</v>
      </c>
      <c r="H8" t="s">
        <v>15</v>
      </c>
    </row>
    <row r="9" spans="1:8" x14ac:dyDescent="0.25">
      <c r="A9" s="4" t="s">
        <v>16</v>
      </c>
      <c r="B9" s="4" t="s">
        <v>6</v>
      </c>
      <c r="C9" s="4" t="s">
        <v>17</v>
      </c>
      <c r="D9" s="5">
        <v>0.05</v>
      </c>
      <c r="H9" t="s">
        <v>17</v>
      </c>
    </row>
    <row r="10" spans="1:8" x14ac:dyDescent="0.25">
      <c r="A10" s="6" t="s">
        <v>18</v>
      </c>
      <c r="B10" s="6" t="s">
        <v>19</v>
      </c>
      <c r="C10" s="6" t="s">
        <v>7</v>
      </c>
      <c r="D10" s="7">
        <v>0.25</v>
      </c>
    </row>
    <row r="11" spans="1:8" x14ac:dyDescent="0.25">
      <c r="A11" s="4" t="s">
        <v>20</v>
      </c>
      <c r="B11" s="4" t="s">
        <v>19</v>
      </c>
      <c r="C11" s="4" t="s">
        <v>9</v>
      </c>
      <c r="D11" s="5">
        <v>0.2</v>
      </c>
      <c r="F11" s="8" t="s">
        <v>34</v>
      </c>
      <c r="G11" s="8"/>
      <c r="H11" s="8"/>
    </row>
    <row r="12" spans="1:8" x14ac:dyDescent="0.25">
      <c r="A12" s="6" t="s">
        <v>21</v>
      </c>
      <c r="B12" s="6" t="s">
        <v>19</v>
      </c>
      <c r="C12" s="6" t="s">
        <v>11</v>
      </c>
      <c r="D12" s="7">
        <v>0.2</v>
      </c>
      <c r="F12" s="8"/>
      <c r="G12" s="8"/>
      <c r="H12" s="8"/>
    </row>
    <row r="13" spans="1:8" x14ac:dyDescent="0.25">
      <c r="A13" s="4" t="s">
        <v>22</v>
      </c>
      <c r="B13" s="4" t="s">
        <v>19</v>
      </c>
      <c r="C13" s="4" t="s">
        <v>13</v>
      </c>
      <c r="D13" s="5">
        <v>0.15</v>
      </c>
      <c r="F13" s="8"/>
      <c r="G13" s="8"/>
      <c r="H13" s="8"/>
    </row>
    <row r="14" spans="1:8" x14ac:dyDescent="0.25">
      <c r="A14" s="6" t="s">
        <v>23</v>
      </c>
      <c r="B14" s="6" t="s">
        <v>19</v>
      </c>
      <c r="C14" s="6" t="s">
        <v>15</v>
      </c>
      <c r="D14" s="7">
        <v>0.1</v>
      </c>
      <c r="F14" s="8"/>
      <c r="G14" s="8"/>
      <c r="H14" s="8"/>
    </row>
    <row r="15" spans="1:8" x14ac:dyDescent="0.25">
      <c r="A15" s="4" t="s">
        <v>24</v>
      </c>
      <c r="B15" s="4" t="s">
        <v>19</v>
      </c>
      <c r="C15" s="4" t="s">
        <v>17</v>
      </c>
      <c r="D15" s="5">
        <v>0.1</v>
      </c>
      <c r="F15" s="8"/>
      <c r="G15" s="8"/>
      <c r="H15" s="8"/>
    </row>
    <row r="16" spans="1:8" x14ac:dyDescent="0.25">
      <c r="A16" s="6" t="s">
        <v>25</v>
      </c>
      <c r="B16" s="6" t="s">
        <v>26</v>
      </c>
      <c r="C16" s="6" t="s">
        <v>7</v>
      </c>
      <c r="D16" s="7">
        <v>0.15</v>
      </c>
    </row>
    <row r="17" spans="1:4" x14ac:dyDescent="0.25">
      <c r="A17" s="4" t="s">
        <v>27</v>
      </c>
      <c r="B17" s="4" t="s">
        <v>26</v>
      </c>
      <c r="C17" s="4" t="s">
        <v>9</v>
      </c>
      <c r="D17" s="5">
        <v>0.15</v>
      </c>
    </row>
    <row r="18" spans="1:4" x14ac:dyDescent="0.25">
      <c r="A18" s="6" t="s">
        <v>28</v>
      </c>
      <c r="B18" s="6" t="s">
        <v>26</v>
      </c>
      <c r="C18" s="6" t="s">
        <v>11</v>
      </c>
      <c r="D18" s="7">
        <v>0.2</v>
      </c>
    </row>
    <row r="19" spans="1:4" x14ac:dyDescent="0.25">
      <c r="A19" s="4" t="s">
        <v>29</v>
      </c>
      <c r="B19" s="4" t="s">
        <v>26</v>
      </c>
      <c r="C19" s="4" t="s">
        <v>13</v>
      </c>
      <c r="D19" s="5">
        <v>0.15</v>
      </c>
    </row>
    <row r="20" spans="1:4" x14ac:dyDescent="0.25">
      <c r="A20" s="6" t="s">
        <v>30</v>
      </c>
      <c r="B20" s="6" t="s">
        <v>26</v>
      </c>
      <c r="C20" s="6" t="s">
        <v>15</v>
      </c>
      <c r="D20" s="7">
        <v>0.2</v>
      </c>
    </row>
    <row r="21" spans="1:4" x14ac:dyDescent="0.25">
      <c r="A21" s="4" t="s">
        <v>31</v>
      </c>
      <c r="B21" s="4" t="s">
        <v>26</v>
      </c>
      <c r="C21" s="4" t="s">
        <v>17</v>
      </c>
      <c r="D21" s="5">
        <v>0.15</v>
      </c>
    </row>
  </sheetData>
  <mergeCells count="2">
    <mergeCell ref="A1:H1"/>
    <mergeCell ref="F11:H1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Simulador</vt:lpstr>
      <vt:lpstr>Apoio</vt:lpstr>
      <vt:lpstr>aporte</vt:lpstr>
      <vt:lpstr>aporte_sugerido</vt:lpstr>
      <vt:lpstr>lista_perfis</vt:lpstr>
      <vt:lpstr>lista_tipos</vt:lpstr>
      <vt:lpstr>perfil</vt:lpstr>
      <vt:lpstr>prazo</vt:lpstr>
      <vt:lpstr>salario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 Rocha</dc:creator>
  <cp:lastModifiedBy>Cristiano Rocha</cp:lastModifiedBy>
  <cp:lastPrinted>2026-10-07T15:35:21Z</cp:lastPrinted>
  <dcterms:created xsi:type="dcterms:W3CDTF">2026-10-07T13:07:02Z</dcterms:created>
  <dcterms:modified xsi:type="dcterms:W3CDTF">2026-10-07T15:40:07Z</dcterms:modified>
</cp:coreProperties>
</file>